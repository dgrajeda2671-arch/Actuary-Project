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5C6385FF-90E3-40CB-80D1-18D0C0872192}" xr6:coauthVersionLast="47" xr6:coauthVersionMax="47" xr10:uidLastSave="{00000000-0000-0000-0000-000000000000}"/>
  <bookViews>
    <workbookView xWindow="240" yWindow="120" windowWidth="14940" windowHeight="9225" activeTab="5" xr2:uid="{00000000-000D-0000-FFFF-FFFF00000000}"/>
  </bookViews>
  <sheets>
    <sheet name="CinnamonRoll" sheetId="2" r:id="rId1"/>
    <sheet name="Donut Shop" sheetId="3" r:id="rId2"/>
    <sheet name="investments " sheetId="4" r:id="rId3"/>
    <sheet name="Operating costs" sheetId="5" r:id="rId4"/>
    <sheet name="PizzaShop" sheetId="6" r:id="rId5"/>
    <sheet name="Profit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O4" i="7"/>
  <c r="J4" i="7"/>
  <c r="N4" i="7" s="1"/>
  <c r="E4" i="7"/>
  <c r="I4" i="7" s="1"/>
  <c r="O3" i="7"/>
  <c r="J3" i="7"/>
  <c r="N3" i="7" s="1"/>
  <c r="E3" i="7"/>
  <c r="I3" i="7" s="1"/>
  <c r="O2" i="7"/>
  <c r="J2" i="7"/>
  <c r="N2" i="7" s="1"/>
  <c r="E2" i="7"/>
  <c r="I2" i="7" s="1"/>
  <c r="D10" i="6"/>
  <c r="E10" i="6" s="1"/>
  <c r="G10" i="6" s="1"/>
  <c r="D9" i="6"/>
  <c r="E9" i="6" s="1"/>
  <c r="G9" i="6" s="1"/>
  <c r="D8" i="6"/>
  <c r="E8" i="6" s="1"/>
  <c r="G8" i="6" s="1"/>
  <c r="D7" i="6"/>
  <c r="E7" i="6" s="1"/>
  <c r="G7" i="6" s="1"/>
  <c r="D6" i="6"/>
  <c r="E6" i="6" s="1"/>
  <c r="G6" i="6" s="1"/>
  <c r="D5" i="6"/>
  <c r="E5" i="6" s="1"/>
  <c r="G5" i="6" s="1"/>
  <c r="D4" i="6"/>
  <c r="E4" i="6" s="1"/>
  <c r="G4" i="6" s="1"/>
  <c r="D3" i="6"/>
  <c r="E3" i="6" s="1"/>
  <c r="G3" i="6" s="1"/>
  <c r="D2" i="6"/>
  <c r="E2" i="6" s="1"/>
  <c r="B16" i="5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G4" i="3" s="1"/>
  <c r="E3" i="3"/>
  <c r="G3" i="3" s="1"/>
  <c r="E2" i="3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4" i="2"/>
  <c r="G4" i="2" s="1"/>
  <c r="E3" i="2"/>
  <c r="G2" i="2"/>
  <c r="E17" i="2" l="1"/>
  <c r="G3" i="2"/>
  <c r="G17" i="2" s="1"/>
  <c r="E13" i="3"/>
  <c r="G2" i="3"/>
  <c r="G13" i="3" s="1"/>
  <c r="E11" i="6"/>
  <c r="G2" i="6"/>
  <c r="G11" i="6" s="1"/>
  <c r="P2" i="7"/>
  <c r="P3" i="7"/>
  <c r="P4" i="7"/>
</calcChain>
</file>

<file path=xl/sharedStrings.xml><?xml version="1.0" encoding="utf-8"?>
<sst xmlns="http://schemas.openxmlformats.org/spreadsheetml/2006/main" count="138" uniqueCount="85">
  <si>
    <t>Ingredients</t>
  </si>
  <si>
    <t>Country of origin</t>
  </si>
  <si>
    <t>Price per lbs</t>
  </si>
  <si>
    <t>Amount used per cinnamon roll in Grams</t>
  </si>
  <si>
    <t>Price per cinnamon roll</t>
  </si>
  <si>
    <t>Tariff in percentage</t>
  </si>
  <si>
    <t>Price after tariff</t>
  </si>
  <si>
    <t>Flour</t>
  </si>
  <si>
    <t>China</t>
  </si>
  <si>
    <t>Granulated sugar</t>
  </si>
  <si>
    <t>Oil</t>
  </si>
  <si>
    <t>Powdered sugar</t>
  </si>
  <si>
    <t>Salt</t>
  </si>
  <si>
    <t>Yeast</t>
  </si>
  <si>
    <t>Brown sugar</t>
  </si>
  <si>
    <t>Mexico</t>
  </si>
  <si>
    <t xml:space="preserve">Vanilla </t>
  </si>
  <si>
    <t>Madagascar</t>
  </si>
  <si>
    <t>Cinnamon</t>
  </si>
  <si>
    <t>USA</t>
  </si>
  <si>
    <t>Corn syrup</t>
  </si>
  <si>
    <t>Cream cheese</t>
  </si>
  <si>
    <t>Milk</t>
  </si>
  <si>
    <t>Eggs</t>
  </si>
  <si>
    <t>Butter</t>
  </si>
  <si>
    <t>Heavy Cream</t>
  </si>
  <si>
    <t>Amount used per dozen donuts in grams</t>
  </si>
  <si>
    <t>Price per dozen donuts</t>
  </si>
  <si>
    <t>Tariff amount in percentage</t>
  </si>
  <si>
    <t>Powdered Sugar</t>
  </si>
  <si>
    <t>Vanilla</t>
  </si>
  <si>
    <t>Business type</t>
  </si>
  <si>
    <t>Cost to transfer to</t>
  </si>
  <si>
    <t>Monthly loan payment 5yrs</t>
  </si>
  <si>
    <t>Future value of investment fund</t>
  </si>
  <si>
    <t>Present value of fund</t>
  </si>
  <si>
    <t>Pizza shop</t>
  </si>
  <si>
    <t>Cinnamon roll shop</t>
  </si>
  <si>
    <t>Doughnut shop</t>
  </si>
  <si>
    <t>Expense monthly</t>
  </si>
  <si>
    <t>Amount</t>
  </si>
  <si>
    <t>Space rent</t>
  </si>
  <si>
    <t>Utilities</t>
  </si>
  <si>
    <t>Owner salary</t>
  </si>
  <si>
    <t>Advertising</t>
  </si>
  <si>
    <t>Security system</t>
  </si>
  <si>
    <t>Cleaning supplies</t>
  </si>
  <si>
    <t>Packaging</t>
  </si>
  <si>
    <t>Credit card processing fees</t>
  </si>
  <si>
    <t>Insurance</t>
  </si>
  <si>
    <t>Permits</t>
  </si>
  <si>
    <t>Mailed coupons</t>
  </si>
  <si>
    <t>Internet and phone</t>
  </si>
  <si>
    <t>Misc</t>
  </si>
  <si>
    <t>Total</t>
  </si>
  <si>
    <t>Price per lbs in $</t>
  </si>
  <si>
    <t>Amount used in grams per large pizza</t>
  </si>
  <si>
    <t>Price per Pizza $</t>
  </si>
  <si>
    <t>Tariff percentage</t>
  </si>
  <si>
    <t>lbs used in one large pizza</t>
  </si>
  <si>
    <t>Sugar</t>
  </si>
  <si>
    <t>Crushed tomato</t>
  </si>
  <si>
    <t>Italy</t>
  </si>
  <si>
    <t>Cheese</t>
  </si>
  <si>
    <t>Pepperoni</t>
  </si>
  <si>
    <t>Herbs</t>
  </si>
  <si>
    <t>Spices</t>
  </si>
  <si>
    <t>operating costs $</t>
  </si>
  <si>
    <t>Cost to Produce each item $</t>
  </si>
  <si>
    <t>1.1 times food costs</t>
  </si>
  <si>
    <t>Total cost monthly</t>
  </si>
  <si>
    <t>Current/estimated sales ind.</t>
  </si>
  <si>
    <t>Price per item in $</t>
  </si>
  <si>
    <t>Current/estimated sales avg 22 days monthly in $</t>
  </si>
  <si>
    <t xml:space="preserve">Current/estimated profit </t>
  </si>
  <si>
    <t>Post tariff operating costs</t>
  </si>
  <si>
    <t>food costs post tariff</t>
  </si>
  <si>
    <t>Expected post tariff sales daily</t>
  </si>
  <si>
    <t>1.1 times food costs post tariff</t>
  </si>
  <si>
    <t>Total post tariff costs</t>
  </si>
  <si>
    <t>Projected post tariff sales</t>
  </si>
  <si>
    <t>Projected post tariff profits</t>
  </si>
  <si>
    <t>90 Large pizzas</t>
  </si>
  <si>
    <t>160 cinnamon rolls</t>
  </si>
  <si>
    <t>70 dozen donuts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</si>
</sst>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0"/>
      <color theme="1"/>
      <name val="Arial"/>
      <family val="2"/>
    </font>
    <font>
      <sz val="16"/>
      <color rgb="FF000000"/>
      <name val="Calibri"/>
      <family val="2"/>
      <charset val="1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9" fontId="2" fillId="0" borderId="0" xfId="0" applyNumberFormat="1" applyFont="1"/>
    <xf numFmtId="6" fontId="2" fillId="0" borderId="0" xfId="0" applyNumberFormat="1" applyFont="1"/>
    <xf numFmtId="2" fontId="2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F6FD-AECA-4022-811D-69593A4F9769}">
  <dimension ref="A1:G17"/>
  <sheetViews>
    <sheetView workbookViewId="0">
      <selection activeCell="E18" sqref="E18"/>
    </sheetView>
  </sheetViews>
  <sheetFormatPr defaultColWidth="31" defaultRowHeight="21" customHeight="1"/>
  <cols>
    <col min="1" max="3" width="31" style="1"/>
    <col min="4" max="4" width="53" style="1" customWidth="1"/>
    <col min="5" max="16384" width="31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0.95</v>
      </c>
      <c r="D2" s="1">
        <v>50</v>
      </c>
      <c r="E2" s="1">
        <f>0.00220462*D2*C2</f>
        <v>0.10471944999999999</v>
      </c>
      <c r="F2" s="2">
        <v>0.4</v>
      </c>
      <c r="G2" s="1">
        <f>E2*(1+F2)</f>
        <v>0.14660722999999998</v>
      </c>
    </row>
    <row r="3" spans="1:7">
      <c r="A3" s="1" t="s">
        <v>9</v>
      </c>
      <c r="B3" s="1" t="s">
        <v>8</v>
      </c>
      <c r="C3" s="1">
        <v>0.75</v>
      </c>
      <c r="D3" s="1">
        <v>6</v>
      </c>
      <c r="E3" s="1">
        <f t="shared" ref="E3:E16" si="0">0.00220462*D3*C3</f>
        <v>9.9207900000000005E-3</v>
      </c>
      <c r="F3" s="2">
        <v>0.4</v>
      </c>
      <c r="G3" s="1">
        <f t="shared" ref="G3:G16" si="1">E3*(1+F3)</f>
        <v>1.3889106E-2</v>
      </c>
    </row>
    <row r="4" spans="1:7">
      <c r="A4" s="1" t="s">
        <v>10</v>
      </c>
      <c r="B4" s="1" t="s">
        <v>8</v>
      </c>
      <c r="C4" s="1">
        <v>1.5</v>
      </c>
      <c r="D4" s="1">
        <v>18</v>
      </c>
      <c r="E4" s="1">
        <f t="shared" si="0"/>
        <v>5.9524740000000007E-2</v>
      </c>
      <c r="F4" s="2">
        <v>0.4</v>
      </c>
      <c r="G4" s="1">
        <f t="shared" si="1"/>
        <v>8.3334636000000004E-2</v>
      </c>
    </row>
    <row r="5" spans="1:7">
      <c r="A5" s="1" t="s">
        <v>11</v>
      </c>
      <c r="B5" s="1" t="s">
        <v>8</v>
      </c>
      <c r="C5" s="1">
        <v>0.85</v>
      </c>
      <c r="D5" s="1">
        <v>18</v>
      </c>
      <c r="E5" s="1">
        <f t="shared" si="0"/>
        <v>3.3730686000000003E-2</v>
      </c>
      <c r="F5" s="2">
        <v>0.4</v>
      </c>
      <c r="G5" s="1">
        <f t="shared" si="1"/>
        <v>4.72229604E-2</v>
      </c>
    </row>
    <row r="6" spans="1:7">
      <c r="A6" s="1" t="s">
        <v>12</v>
      </c>
      <c r="B6" s="1" t="s">
        <v>8</v>
      </c>
      <c r="C6" s="1">
        <v>0.1</v>
      </c>
      <c r="D6" s="1">
        <v>1</v>
      </c>
      <c r="E6" s="1">
        <f t="shared" si="0"/>
        <v>2.2046200000000002E-4</v>
      </c>
      <c r="F6" s="2">
        <v>0.4</v>
      </c>
      <c r="G6" s="1">
        <f t="shared" si="1"/>
        <v>3.0864679999999999E-4</v>
      </c>
    </row>
    <row r="7" spans="1:7">
      <c r="A7" s="1" t="s">
        <v>13</v>
      </c>
      <c r="B7" s="1" t="s">
        <v>8</v>
      </c>
      <c r="C7" s="1">
        <v>1.75</v>
      </c>
      <c r="D7" s="1">
        <v>1</v>
      </c>
      <c r="E7" s="1">
        <f t="shared" si="0"/>
        <v>3.8580849999999998E-3</v>
      </c>
      <c r="F7" s="2">
        <v>0.4</v>
      </c>
      <c r="G7" s="1">
        <f t="shared" si="1"/>
        <v>5.401318999999999E-3</v>
      </c>
    </row>
    <row r="8" spans="1:7">
      <c r="A8" s="1" t="s">
        <v>14</v>
      </c>
      <c r="B8" s="1" t="s">
        <v>15</v>
      </c>
      <c r="C8" s="1">
        <v>0.75</v>
      </c>
      <c r="D8" s="1">
        <v>20</v>
      </c>
      <c r="E8" s="1">
        <f t="shared" si="0"/>
        <v>3.3069300000000003E-2</v>
      </c>
      <c r="F8" s="2">
        <v>0.15</v>
      </c>
      <c r="G8" s="1">
        <f t="shared" si="1"/>
        <v>3.8029695000000002E-2</v>
      </c>
    </row>
    <row r="9" spans="1:7">
      <c r="A9" s="1" t="s">
        <v>16</v>
      </c>
      <c r="B9" s="1" t="s">
        <v>17</v>
      </c>
      <c r="C9" s="1">
        <v>10</v>
      </c>
      <c r="D9" s="1">
        <v>1</v>
      </c>
      <c r="E9" s="1">
        <f t="shared" si="0"/>
        <v>2.2046200000000002E-2</v>
      </c>
      <c r="F9" s="2">
        <v>0.25</v>
      </c>
      <c r="G9" s="1">
        <f t="shared" si="1"/>
        <v>2.7557750000000002E-2</v>
      </c>
    </row>
    <row r="10" spans="1:7">
      <c r="A10" s="1" t="s">
        <v>18</v>
      </c>
      <c r="B10" s="1" t="s">
        <v>19</v>
      </c>
      <c r="C10" s="1">
        <v>0.65</v>
      </c>
      <c r="D10" s="1">
        <v>2</v>
      </c>
      <c r="E10" s="1">
        <f t="shared" si="0"/>
        <v>2.8660059999999999E-3</v>
      </c>
      <c r="F10" s="2">
        <v>0</v>
      </c>
      <c r="G10" s="1">
        <f t="shared" si="1"/>
        <v>2.8660059999999999E-3</v>
      </c>
    </row>
    <row r="11" spans="1:7">
      <c r="A11" s="1" t="s">
        <v>20</v>
      </c>
      <c r="B11" s="1" t="s">
        <v>19</v>
      </c>
      <c r="C11" s="1">
        <v>0.25</v>
      </c>
      <c r="D11" s="1">
        <v>3</v>
      </c>
      <c r="E11" s="1">
        <f t="shared" si="0"/>
        <v>1.653465E-3</v>
      </c>
      <c r="F11" s="2">
        <v>0</v>
      </c>
      <c r="G11" s="1">
        <f t="shared" si="1"/>
        <v>1.653465E-3</v>
      </c>
    </row>
    <row r="12" spans="1:7">
      <c r="A12" s="1" t="s">
        <v>21</v>
      </c>
      <c r="B12" s="1" t="s">
        <v>19</v>
      </c>
      <c r="C12" s="1">
        <v>1.5</v>
      </c>
      <c r="D12" s="1">
        <v>20</v>
      </c>
      <c r="E12" s="1">
        <f t="shared" si="0"/>
        <v>6.6138600000000006E-2</v>
      </c>
      <c r="F12" s="2">
        <v>0</v>
      </c>
      <c r="G12" s="1">
        <f t="shared" si="1"/>
        <v>6.6138600000000006E-2</v>
      </c>
    </row>
    <row r="13" spans="1:7">
      <c r="A13" s="1" t="s">
        <v>22</v>
      </c>
      <c r="B13" s="1" t="s">
        <v>19</v>
      </c>
      <c r="C13" s="1">
        <v>0.4</v>
      </c>
      <c r="D13" s="1">
        <v>20</v>
      </c>
      <c r="E13" s="1">
        <f t="shared" si="0"/>
        <v>1.7636960000000004E-2</v>
      </c>
      <c r="F13" s="2">
        <v>0</v>
      </c>
      <c r="G13" s="1">
        <f t="shared" si="1"/>
        <v>1.7636960000000004E-2</v>
      </c>
    </row>
    <row r="14" spans="1:7">
      <c r="A14" s="1" t="s">
        <v>23</v>
      </c>
      <c r="B14" s="1" t="s">
        <v>19</v>
      </c>
      <c r="C14" s="1">
        <v>3</v>
      </c>
      <c r="D14" s="1">
        <v>9</v>
      </c>
      <c r="E14" s="1">
        <f t="shared" si="0"/>
        <v>5.9524740000000007E-2</v>
      </c>
      <c r="F14" s="2">
        <v>0</v>
      </c>
      <c r="G14" s="1">
        <f t="shared" si="1"/>
        <v>5.9524740000000007E-2</v>
      </c>
    </row>
    <row r="15" spans="1:7">
      <c r="A15" s="1" t="s">
        <v>24</v>
      </c>
      <c r="B15" s="1" t="s">
        <v>19</v>
      </c>
      <c r="C15" s="1">
        <v>4</v>
      </c>
      <c r="D15" s="1">
        <v>20</v>
      </c>
      <c r="E15" s="1">
        <f t="shared" si="0"/>
        <v>0.17636960000000002</v>
      </c>
      <c r="F15" s="2">
        <v>0</v>
      </c>
      <c r="G15" s="1">
        <f t="shared" si="1"/>
        <v>0.17636960000000002</v>
      </c>
    </row>
    <row r="16" spans="1:7">
      <c r="A16" s="1" t="s">
        <v>25</v>
      </c>
      <c r="B16" s="1" t="s">
        <v>19</v>
      </c>
      <c r="C16" s="1">
        <v>4</v>
      </c>
      <c r="D16" s="1">
        <v>15</v>
      </c>
      <c r="E16" s="1">
        <f t="shared" si="0"/>
        <v>0.13227720000000001</v>
      </c>
      <c r="F16" s="2">
        <v>0</v>
      </c>
      <c r="G16" s="1">
        <f t="shared" si="1"/>
        <v>0.13227720000000001</v>
      </c>
    </row>
    <row r="17" spans="5:7">
      <c r="E17" s="1">
        <f>SUM(E2:E16)</f>
        <v>0.72355628399999994</v>
      </c>
      <c r="G17" s="1">
        <f>SUM(G2:G16)</f>
        <v>0.81881791419999994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35EA-7145-4638-B501-A1C861E4949A}">
  <dimension ref="A1:G13"/>
  <sheetViews>
    <sheetView workbookViewId="0">
      <selection activeCell="G14" sqref="G14"/>
    </sheetView>
  </sheetViews>
  <sheetFormatPr defaultRowHeight="21" customHeight="1"/>
  <cols>
    <col min="1" max="1" width="31.5703125" style="1" customWidth="1"/>
    <col min="2" max="2" width="30.140625" style="1" customWidth="1"/>
    <col min="3" max="3" width="28" style="1" customWidth="1"/>
    <col min="4" max="4" width="52.42578125" style="1" customWidth="1"/>
    <col min="5" max="5" width="44.28515625" style="1" customWidth="1"/>
    <col min="6" max="6" width="38.140625" style="1" customWidth="1"/>
    <col min="7" max="7" width="28.85546875" style="1" customWidth="1"/>
    <col min="8" max="16384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6</v>
      </c>
    </row>
    <row r="2" spans="1:7">
      <c r="A2" s="1" t="s">
        <v>7</v>
      </c>
      <c r="B2" s="1" t="s">
        <v>8</v>
      </c>
      <c r="C2" s="1">
        <v>0.95</v>
      </c>
      <c r="D2" s="1">
        <v>500</v>
      </c>
      <c r="E2" s="1">
        <f>D2*0.00220462*C2</f>
        <v>1.0471944999999998</v>
      </c>
      <c r="F2" s="2">
        <v>0.4</v>
      </c>
      <c r="G2" s="1">
        <f>E2*(1+F2)</f>
        <v>1.4660722999999996</v>
      </c>
    </row>
    <row r="3" spans="1:7">
      <c r="A3" s="1" t="s">
        <v>9</v>
      </c>
      <c r="B3" s="1" t="s">
        <v>8</v>
      </c>
      <c r="C3" s="1">
        <v>0.75</v>
      </c>
      <c r="D3" s="1">
        <v>60</v>
      </c>
      <c r="E3" s="1">
        <f t="shared" ref="E3:E12" si="0">D3*0.00220462*C3</f>
        <v>9.9207900000000016E-2</v>
      </c>
      <c r="F3" s="2">
        <v>0.4</v>
      </c>
      <c r="G3" s="1">
        <f t="shared" ref="G3:G12" si="1">E3*(1+F3)</f>
        <v>0.13889106000000001</v>
      </c>
    </row>
    <row r="4" spans="1:7">
      <c r="A4" s="1" t="s">
        <v>29</v>
      </c>
      <c r="B4" s="1" t="s">
        <v>8</v>
      </c>
      <c r="C4" s="1">
        <v>0.85</v>
      </c>
      <c r="D4" s="1">
        <v>200</v>
      </c>
      <c r="E4" s="1">
        <f t="shared" si="0"/>
        <v>0.37478539999999999</v>
      </c>
      <c r="F4" s="2">
        <v>0.4</v>
      </c>
      <c r="G4" s="1">
        <f t="shared" si="1"/>
        <v>0.52469955999999995</v>
      </c>
    </row>
    <row r="5" spans="1:7">
      <c r="A5" s="1" t="s">
        <v>13</v>
      </c>
      <c r="B5" s="1" t="s">
        <v>8</v>
      </c>
      <c r="C5" s="1">
        <v>1.75</v>
      </c>
      <c r="D5" s="1">
        <v>3.5</v>
      </c>
      <c r="E5" s="1">
        <f t="shared" si="0"/>
        <v>1.3503297499999999E-2</v>
      </c>
      <c r="F5" s="2">
        <v>0.4</v>
      </c>
      <c r="G5" s="1">
        <f t="shared" si="1"/>
        <v>1.8904616499999999E-2</v>
      </c>
    </row>
    <row r="6" spans="1:7">
      <c r="A6" s="1" t="s">
        <v>10</v>
      </c>
      <c r="B6" s="1" t="s">
        <v>8</v>
      </c>
      <c r="C6" s="1">
        <v>1.5</v>
      </c>
      <c r="D6" s="1">
        <v>68</v>
      </c>
      <c r="E6" s="1">
        <f t="shared" si="0"/>
        <v>0.22487123999999997</v>
      </c>
      <c r="F6" s="2">
        <v>0.4</v>
      </c>
      <c r="G6" s="1">
        <f t="shared" si="1"/>
        <v>0.31481973599999996</v>
      </c>
    </row>
    <row r="7" spans="1:7">
      <c r="A7" s="1" t="s">
        <v>12</v>
      </c>
      <c r="B7" s="1" t="s">
        <v>8</v>
      </c>
      <c r="C7" s="1">
        <v>0.1</v>
      </c>
      <c r="D7" s="1">
        <v>2.5</v>
      </c>
      <c r="E7" s="1">
        <f t="shared" si="0"/>
        <v>5.5115500000000011E-4</v>
      </c>
      <c r="F7" s="2">
        <v>0.4</v>
      </c>
      <c r="G7" s="1">
        <f t="shared" si="1"/>
        <v>7.7161700000000016E-4</v>
      </c>
    </row>
    <row r="8" spans="1:7">
      <c r="A8" s="1" t="s">
        <v>30</v>
      </c>
      <c r="B8" s="1" t="s">
        <v>17</v>
      </c>
      <c r="C8" s="1">
        <v>10</v>
      </c>
      <c r="D8" s="1">
        <v>5</v>
      </c>
      <c r="E8" s="1">
        <f t="shared" si="0"/>
        <v>0.11023100000000001</v>
      </c>
      <c r="F8" s="2">
        <v>0.25</v>
      </c>
      <c r="G8" s="1">
        <f t="shared" si="1"/>
        <v>0.13778875000000002</v>
      </c>
    </row>
    <row r="9" spans="1:7">
      <c r="A9" s="1" t="s">
        <v>22</v>
      </c>
      <c r="B9" s="1" t="s">
        <v>19</v>
      </c>
      <c r="C9" s="1">
        <v>0.4</v>
      </c>
      <c r="D9" s="1">
        <v>230</v>
      </c>
      <c r="E9" s="1">
        <f t="shared" si="0"/>
        <v>0.20282504000000001</v>
      </c>
      <c r="F9" s="2">
        <v>0</v>
      </c>
      <c r="G9" s="1">
        <f t="shared" si="1"/>
        <v>0.20282504000000001</v>
      </c>
    </row>
    <row r="10" spans="1:7">
      <c r="A10" s="1" t="s">
        <v>24</v>
      </c>
      <c r="B10" s="1" t="s">
        <v>19</v>
      </c>
      <c r="C10" s="1">
        <v>4</v>
      </c>
      <c r="D10" s="1">
        <v>50</v>
      </c>
      <c r="E10" s="1">
        <f t="shared" si="0"/>
        <v>0.44092399999999998</v>
      </c>
      <c r="F10" s="2">
        <v>0</v>
      </c>
      <c r="G10" s="1">
        <f t="shared" si="1"/>
        <v>0.44092399999999998</v>
      </c>
    </row>
    <row r="11" spans="1:7">
      <c r="A11" s="1" t="s">
        <v>23</v>
      </c>
      <c r="B11" s="1" t="s">
        <v>19</v>
      </c>
      <c r="C11" s="1">
        <v>3</v>
      </c>
      <c r="D11" s="1">
        <v>50</v>
      </c>
      <c r="E11" s="1">
        <f t="shared" si="0"/>
        <v>0.33069300000000001</v>
      </c>
      <c r="F11" s="2">
        <v>0</v>
      </c>
      <c r="G11" s="1">
        <f t="shared" si="1"/>
        <v>0.33069300000000001</v>
      </c>
    </row>
    <row r="12" spans="1:7">
      <c r="A12" s="1" t="s">
        <v>20</v>
      </c>
      <c r="B12" s="1" t="s">
        <v>19</v>
      </c>
      <c r="C12" s="1">
        <v>0.25</v>
      </c>
      <c r="D12" s="1">
        <v>20</v>
      </c>
      <c r="E12" s="1">
        <f t="shared" si="0"/>
        <v>1.1023100000000001E-2</v>
      </c>
      <c r="F12" s="2">
        <v>0</v>
      </c>
      <c r="G12" s="1">
        <f t="shared" si="1"/>
        <v>1.1023100000000001E-2</v>
      </c>
    </row>
    <row r="13" spans="1:7">
      <c r="E13" s="1">
        <f>SUM(E2:E12)</f>
        <v>2.8558096324999998</v>
      </c>
      <c r="G13" s="1">
        <f>SUM(G2:G12)</f>
        <v>3.5874127794999993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11CA-6349-4F1F-99D9-9F5B18E16681}">
  <dimension ref="A1:E4"/>
  <sheetViews>
    <sheetView workbookViewId="0">
      <selection activeCell="E4" sqref="E4"/>
    </sheetView>
  </sheetViews>
  <sheetFormatPr defaultColWidth="38.28515625" defaultRowHeight="21" customHeight="1"/>
  <cols>
    <col min="1" max="3" width="38.28515625" style="1"/>
    <col min="4" max="4" width="42" style="1" customWidth="1"/>
    <col min="5" max="16384" width="38.28515625" style="1"/>
  </cols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>
      <c r="A2" s="1" t="s">
        <v>36</v>
      </c>
      <c r="B2" s="1">
        <v>0</v>
      </c>
      <c r="C2" s="1">
        <v>0</v>
      </c>
      <c r="D2" s="1">
        <v>1061905.56</v>
      </c>
      <c r="E2" s="1">
        <v>391693.61</v>
      </c>
    </row>
    <row r="3" spans="1:5">
      <c r="A3" s="1" t="s">
        <v>37</v>
      </c>
      <c r="B3" s="1">
        <v>6000</v>
      </c>
      <c r="C3" s="1">
        <v>113.23</v>
      </c>
      <c r="D3" s="1">
        <v>1602997.4</v>
      </c>
      <c r="E3" s="1">
        <v>591280.30000000005</v>
      </c>
    </row>
    <row r="4" spans="1:5">
      <c r="A4" s="1" t="s">
        <v>38</v>
      </c>
      <c r="B4" s="1">
        <v>10000</v>
      </c>
      <c r="C4" s="1">
        <v>188.71</v>
      </c>
      <c r="D4" s="1">
        <v>2176944.9</v>
      </c>
      <c r="E4" s="1">
        <v>802986.1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98FC-5774-4B94-9B03-9A64BCFB96C4}">
  <dimension ref="A1:B16"/>
  <sheetViews>
    <sheetView workbookViewId="0">
      <selection activeCell="B15" sqref="B15"/>
    </sheetView>
  </sheetViews>
  <sheetFormatPr defaultColWidth="26.42578125" defaultRowHeight="21" customHeight="1"/>
  <cols>
    <col min="1" max="1" width="36.42578125" style="1" customWidth="1"/>
    <col min="2" max="16384" width="26.42578125" style="1"/>
  </cols>
  <sheetData>
    <row r="1" spans="1:2">
      <c r="A1" s="1" t="s">
        <v>39</v>
      </c>
      <c r="B1" s="1" t="s">
        <v>40</v>
      </c>
    </row>
    <row r="2" spans="1:2">
      <c r="A2" s="1" t="s">
        <v>41</v>
      </c>
      <c r="B2" s="3">
        <v>3500</v>
      </c>
    </row>
    <row r="3" spans="1:2">
      <c r="A3" s="1" t="s">
        <v>42</v>
      </c>
      <c r="B3" s="3">
        <v>900</v>
      </c>
    </row>
    <row r="4" spans="1:2">
      <c r="A4" s="1" t="s">
        <v>43</v>
      </c>
      <c r="B4" s="3">
        <v>8000</v>
      </c>
    </row>
    <row r="5" spans="1:2">
      <c r="A5" s="1" t="s">
        <v>44</v>
      </c>
      <c r="B5" s="3">
        <v>800</v>
      </c>
    </row>
    <row r="6" spans="1:2">
      <c r="A6" s="1" t="s">
        <v>45</v>
      </c>
      <c r="B6" s="3">
        <v>300</v>
      </c>
    </row>
    <row r="7" spans="1:2">
      <c r="A7" s="1" t="s">
        <v>46</v>
      </c>
      <c r="B7" s="3">
        <v>140</v>
      </c>
    </row>
    <row r="8" spans="1:2">
      <c r="A8" s="1" t="s">
        <v>47</v>
      </c>
      <c r="B8" s="3">
        <v>600</v>
      </c>
    </row>
    <row r="9" spans="1:2">
      <c r="A9" s="1" t="s">
        <v>48</v>
      </c>
      <c r="B9" s="3">
        <v>400</v>
      </c>
    </row>
    <row r="10" spans="1:2">
      <c r="A10" s="1" t="s">
        <v>49</v>
      </c>
      <c r="B10" s="3">
        <v>350</v>
      </c>
    </row>
    <row r="11" spans="1:2">
      <c r="A11" s="1" t="s">
        <v>50</v>
      </c>
      <c r="B11" s="3">
        <v>100</v>
      </c>
    </row>
    <row r="12" spans="1:2">
      <c r="A12" s="1" t="s">
        <v>51</v>
      </c>
      <c r="B12" s="3">
        <v>400</v>
      </c>
    </row>
    <row r="13" spans="1:2">
      <c r="A13" s="1" t="s">
        <v>52</v>
      </c>
      <c r="B13" s="3">
        <v>200</v>
      </c>
    </row>
    <row r="14" spans="1:2">
      <c r="A14" s="1" t="s">
        <v>53</v>
      </c>
      <c r="B14" s="3">
        <v>500</v>
      </c>
    </row>
    <row r="16" spans="1:2">
      <c r="A16" s="1" t="s">
        <v>54</v>
      </c>
      <c r="B16" s="3">
        <f>SUM(B2:B14)</f>
        <v>16190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5D12-4D4A-45CD-8D46-8914D1362BCD}">
  <dimension ref="A1:I11"/>
  <sheetViews>
    <sheetView topLeftCell="D3" workbookViewId="0">
      <selection activeCell="E12" sqref="E12"/>
    </sheetView>
  </sheetViews>
  <sheetFormatPr defaultRowHeight="21" customHeight="1"/>
  <cols>
    <col min="1" max="1" width="27.42578125" style="1" customWidth="1"/>
    <col min="2" max="2" width="30.140625" style="1" customWidth="1"/>
    <col min="3" max="3" width="26.140625" style="1" customWidth="1"/>
    <col min="4" max="4" width="49.85546875" style="1" customWidth="1"/>
    <col min="5" max="5" width="48.140625" style="1" customWidth="1"/>
    <col min="6" max="6" width="38" style="1" customWidth="1"/>
    <col min="7" max="7" width="43.28515625" style="1" customWidth="1"/>
    <col min="8" max="8" width="9.140625" style="1"/>
    <col min="9" max="9" width="40.140625" style="1" customWidth="1"/>
    <col min="10" max="16384" width="9.140625" style="1"/>
  </cols>
  <sheetData>
    <row r="1" spans="1:9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6</v>
      </c>
      <c r="I1" s="1" t="s">
        <v>59</v>
      </c>
    </row>
    <row r="2" spans="1:9">
      <c r="A2" s="1" t="s">
        <v>7</v>
      </c>
      <c r="B2" s="1" t="s">
        <v>8</v>
      </c>
      <c r="C2" s="1">
        <v>0.95</v>
      </c>
      <c r="D2" s="1">
        <f>I2*453.592</f>
        <v>362.87360000000001</v>
      </c>
      <c r="E2" s="1">
        <f>C2*D2/453.592</f>
        <v>0.76</v>
      </c>
      <c r="F2" s="2">
        <v>0.4</v>
      </c>
      <c r="G2" s="1">
        <f>E2*(1+F2)</f>
        <v>1.0639999999999998</v>
      </c>
      <c r="I2" s="1">
        <v>0.8</v>
      </c>
    </row>
    <row r="3" spans="1:9">
      <c r="A3" s="1" t="s">
        <v>10</v>
      </c>
      <c r="B3" s="1" t="s">
        <v>8</v>
      </c>
      <c r="C3" s="1">
        <v>1.5</v>
      </c>
      <c r="D3" s="1">
        <f>I3*453.592</f>
        <v>22.679600000000001</v>
      </c>
      <c r="E3" s="1">
        <f>C3*D3/453.592</f>
        <v>7.5000000000000011E-2</v>
      </c>
      <c r="F3" s="2">
        <v>0.4</v>
      </c>
      <c r="G3" s="1">
        <f t="shared" ref="G3:G10" si="0">E3*(1+F3)</f>
        <v>0.10500000000000001</v>
      </c>
      <c r="I3" s="1">
        <v>0.05</v>
      </c>
    </row>
    <row r="4" spans="1:9">
      <c r="A4" s="1" t="s">
        <v>13</v>
      </c>
      <c r="B4" s="1" t="s">
        <v>8</v>
      </c>
      <c r="C4" s="1">
        <v>1.75</v>
      </c>
      <c r="D4" s="1">
        <f>I4*453.592</f>
        <v>4.53592</v>
      </c>
      <c r="E4" s="1">
        <f>C4*D4/453.592</f>
        <v>1.7499999999999998E-2</v>
      </c>
      <c r="F4" s="2">
        <v>0.4</v>
      </c>
      <c r="G4" s="1">
        <f t="shared" si="0"/>
        <v>2.4499999999999997E-2</v>
      </c>
      <c r="I4" s="1">
        <v>0.01</v>
      </c>
    </row>
    <row r="5" spans="1:9">
      <c r="A5" s="1" t="s">
        <v>60</v>
      </c>
      <c r="B5" s="1" t="s">
        <v>8</v>
      </c>
      <c r="C5" s="1">
        <v>0.75</v>
      </c>
      <c r="D5" s="1">
        <f>I5*453.592</f>
        <v>4.53592</v>
      </c>
      <c r="E5" s="1">
        <f>C5*D5/453.592</f>
        <v>7.4999999999999997E-3</v>
      </c>
      <c r="F5" s="2">
        <v>0.4</v>
      </c>
      <c r="G5" s="1">
        <f t="shared" si="0"/>
        <v>1.0499999999999999E-2</v>
      </c>
      <c r="I5" s="1">
        <v>0.01</v>
      </c>
    </row>
    <row r="6" spans="1:9">
      <c r="A6" s="1" t="s">
        <v>61</v>
      </c>
      <c r="B6" s="1" t="s">
        <v>62</v>
      </c>
      <c r="C6" s="1">
        <v>2.5</v>
      </c>
      <c r="D6" s="1">
        <f>I6*453.592</f>
        <v>149.68536</v>
      </c>
      <c r="E6" s="1">
        <f t="shared" ref="E6:E10" si="1">C6*D6/453.592</f>
        <v>0.82499999999999996</v>
      </c>
      <c r="F6" s="2">
        <v>0.15</v>
      </c>
      <c r="G6" s="1">
        <f t="shared" si="0"/>
        <v>0.94874999999999987</v>
      </c>
      <c r="I6" s="1">
        <v>0.33</v>
      </c>
    </row>
    <row r="7" spans="1:9">
      <c r="A7" s="1" t="s">
        <v>63</v>
      </c>
      <c r="B7" s="1" t="s">
        <v>19</v>
      </c>
      <c r="C7" s="1">
        <v>7.5</v>
      </c>
      <c r="D7" s="1">
        <f>I7*453.592</f>
        <v>566.99</v>
      </c>
      <c r="E7" s="1">
        <f t="shared" si="1"/>
        <v>9.375</v>
      </c>
      <c r="F7" s="2">
        <v>0</v>
      </c>
      <c r="G7" s="1">
        <f t="shared" si="0"/>
        <v>9.375</v>
      </c>
      <c r="I7" s="1">
        <v>1.25</v>
      </c>
    </row>
    <row r="8" spans="1:9">
      <c r="A8" s="1" t="s">
        <v>64</v>
      </c>
      <c r="B8" s="1" t="s">
        <v>15</v>
      </c>
      <c r="C8" s="1">
        <v>5.5</v>
      </c>
      <c r="D8" s="1">
        <f>I8*453.592</f>
        <v>113.398</v>
      </c>
      <c r="E8" s="1">
        <f t="shared" si="1"/>
        <v>1.375</v>
      </c>
      <c r="F8" s="2">
        <v>0.25</v>
      </c>
      <c r="G8" s="1">
        <f t="shared" si="0"/>
        <v>1.71875</v>
      </c>
      <c r="I8" s="1">
        <v>0.25</v>
      </c>
    </row>
    <row r="9" spans="1:9">
      <c r="A9" s="1" t="s">
        <v>65</v>
      </c>
      <c r="B9" s="1" t="s">
        <v>15</v>
      </c>
      <c r="C9" s="1">
        <v>2.75</v>
      </c>
      <c r="D9" s="1">
        <f>I9*453.592</f>
        <v>4.53592</v>
      </c>
      <c r="E9" s="1">
        <f t="shared" si="1"/>
        <v>2.75E-2</v>
      </c>
      <c r="F9" s="2">
        <v>0.25</v>
      </c>
      <c r="G9" s="1">
        <f t="shared" si="0"/>
        <v>3.4375000000000003E-2</v>
      </c>
      <c r="I9" s="1">
        <v>0.01</v>
      </c>
    </row>
    <row r="10" spans="1:9">
      <c r="A10" s="1" t="s">
        <v>66</v>
      </c>
      <c r="B10" s="1" t="s">
        <v>15</v>
      </c>
      <c r="C10" s="1">
        <v>1.5</v>
      </c>
      <c r="D10" s="1">
        <f>I10*453.592</f>
        <v>4.53592</v>
      </c>
      <c r="E10" s="1">
        <f t="shared" si="1"/>
        <v>1.4999999999999999E-2</v>
      </c>
      <c r="F10" s="2">
        <v>0.25</v>
      </c>
      <c r="G10" s="1">
        <f t="shared" si="0"/>
        <v>1.8749999999999999E-2</v>
      </c>
      <c r="I10" s="1">
        <v>0.01</v>
      </c>
    </row>
    <row r="11" spans="1:9">
      <c r="E11" s="1">
        <f>SUM(E2:E10)</f>
        <v>12.477500000000001</v>
      </c>
      <c r="G11" s="1">
        <f>G2+G3+G4+G5+G6+G7+G8+G9+G10</f>
        <v>13.299625000000001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A2F5-71DF-4F9F-A6A3-8144DC4C2F3F}">
  <dimension ref="A1:P4"/>
  <sheetViews>
    <sheetView tabSelected="1" workbookViewId="0">
      <selection activeCell="A4" sqref="A4"/>
    </sheetView>
  </sheetViews>
  <sheetFormatPr defaultColWidth="34.5703125" defaultRowHeight="21" customHeight="1"/>
  <cols>
    <col min="1" max="2" width="34.5703125" style="4"/>
    <col min="3" max="4" width="36.5703125" style="4" customWidth="1"/>
    <col min="5" max="5" width="34.5703125" style="4"/>
    <col min="6" max="7" width="36.5703125" style="4" customWidth="1"/>
    <col min="8" max="8" width="61.7109375" style="4" customWidth="1"/>
    <col min="9" max="9" width="44" style="4" customWidth="1"/>
    <col min="10" max="10" width="32.42578125" style="4" customWidth="1"/>
    <col min="11" max="12" width="43.5703125" style="4" customWidth="1"/>
    <col min="13" max="14" width="41.85546875" style="4" customWidth="1"/>
    <col min="15" max="16384" width="34.5703125" style="4"/>
  </cols>
  <sheetData>
    <row r="1" spans="1:16">
      <c r="A1" s="4" t="s">
        <v>31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  <c r="P1" s="4" t="s">
        <v>81</v>
      </c>
    </row>
    <row r="2" spans="1:16">
      <c r="A2" s="4" t="s">
        <v>36</v>
      </c>
      <c r="B2" s="4">
        <v>16190</v>
      </c>
      <c r="C2" s="4">
        <v>12.48</v>
      </c>
      <c r="D2" s="4">
        <v>27200</v>
      </c>
      <c r="E2" s="4">
        <f>B2+D2</f>
        <v>43390</v>
      </c>
      <c r="F2" s="4" t="s">
        <v>82</v>
      </c>
      <c r="G2" s="4">
        <v>24</v>
      </c>
      <c r="H2" s="4">
        <v>47520</v>
      </c>
      <c r="I2" s="4">
        <f>H2-E2</f>
        <v>4130</v>
      </c>
      <c r="J2" s="4">
        <f>1.05*B2</f>
        <v>16999.5</v>
      </c>
      <c r="K2" s="4">
        <v>13.3</v>
      </c>
      <c r="L2" s="4">
        <v>81</v>
      </c>
      <c r="M2" s="4">
        <v>23700</v>
      </c>
      <c r="N2" s="4">
        <f>J2+M2</f>
        <v>40699.5</v>
      </c>
      <c r="O2" s="4">
        <f>L2*G2*22</f>
        <v>42768</v>
      </c>
      <c r="P2" s="4">
        <f>O2-N2</f>
        <v>2068.5</v>
      </c>
    </row>
    <row r="3" spans="1:16">
      <c r="A3" s="4" t="s">
        <v>37</v>
      </c>
      <c r="B3" s="5">
        <v>16190</v>
      </c>
      <c r="C3" s="4">
        <v>0.72</v>
      </c>
      <c r="D3" s="4">
        <v>2535</v>
      </c>
      <c r="E3" s="5">
        <f>B3+D3</f>
        <v>18725</v>
      </c>
      <c r="F3" s="4" t="s">
        <v>83</v>
      </c>
      <c r="G3" s="4">
        <v>7</v>
      </c>
      <c r="H3" s="4">
        <v>24640</v>
      </c>
      <c r="I3" s="4">
        <f>H3-E3</f>
        <v>5915</v>
      </c>
      <c r="J3" s="4">
        <f>1.05*B3</f>
        <v>16999.5</v>
      </c>
      <c r="K3" s="4">
        <v>0.82</v>
      </c>
      <c r="L3" s="4">
        <v>148</v>
      </c>
      <c r="M3" s="4">
        <v>2670</v>
      </c>
      <c r="N3" s="4">
        <f>J3+M3</f>
        <v>19669.5</v>
      </c>
      <c r="O3" s="4">
        <f>L3*G3*22</f>
        <v>22792</v>
      </c>
      <c r="P3" s="4">
        <f>O3-N3</f>
        <v>3122.5</v>
      </c>
    </row>
    <row r="4" spans="1:16">
      <c r="A4" s="4" t="s">
        <v>38</v>
      </c>
      <c r="B4" s="5">
        <v>16190</v>
      </c>
      <c r="C4" s="4">
        <v>2.86</v>
      </c>
      <c r="D4" s="4">
        <v>4845</v>
      </c>
      <c r="E4" s="5">
        <f>B4+D4</f>
        <v>21035</v>
      </c>
      <c r="F4" s="4" t="s">
        <v>84</v>
      </c>
      <c r="G4" s="4">
        <v>18</v>
      </c>
      <c r="H4" s="4">
        <v>27720</v>
      </c>
      <c r="I4" s="4">
        <f>H4-E4</f>
        <v>6685</v>
      </c>
      <c r="J4" s="4">
        <f>1.05*B4</f>
        <v>16999.5</v>
      </c>
      <c r="K4" s="4">
        <v>3.59</v>
      </c>
      <c r="L4" s="4">
        <v>67</v>
      </c>
      <c r="M4" s="4">
        <v>5292</v>
      </c>
      <c r="N4" s="4">
        <f>J4+M4</f>
        <v>22291.5</v>
      </c>
      <c r="O4" s="4">
        <f>L4*G4*22</f>
        <v>26532</v>
      </c>
      <c r="P4" s="4">
        <f>O4-N4</f>
        <v>4240.5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2026-07-18T10:08:30Z</dcterms:created>
  <dcterms:modified xsi:type="dcterms:W3CDTF">2026-07-18T10:11:03Z</dcterms:modified>
  <cp:category/>
  <cp:contentStatus/>
</cp:coreProperties>
</file>